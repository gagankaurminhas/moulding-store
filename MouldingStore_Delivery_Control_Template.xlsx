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9541000f1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ies" sheetId="1" r:id="R683d3413c81141a5"/>
    <x:sheet xmlns:r="http://schemas.openxmlformats.org/officeDocument/2006/relationships" name="DeliveryEvents" sheetId="2" r:id="R460fdb3285cd495e"/>
    <x:sheet xmlns:r="http://schemas.openxmlformats.org/officeDocument/2006/relationships" name="Drivers" sheetId="3" r:id="R76a7cf64dbb0423a"/>
    <x:sheet xmlns:r="http://schemas.openxmlformats.org/officeDocument/2006/relationships" name="Trucks" sheetId="4" r:id="R3cf9682aee2344d9"/>
    <x:sheet xmlns:r="http://schemas.openxmlformats.org/officeDocument/2006/relationships" name="Dashboard" sheetId="5" r:id="R9b8a93bfb7f5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2522"/>
      </x:patternFill>
    </x:fill>
    <x:fill>
      <x:patternFill patternType="solid">
        <x:fgColor rgb="FFB78A3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f465f8d9644eb" /><Relationship Type="http://schemas.openxmlformats.org/officeDocument/2006/relationships/theme" Target="/xl/theme/theme1.xml" Id="R09895563f26c438e" /><Relationship Type="http://schemas.microsoft.com/office/2022/11/relationships/FeaturePropertyBag" Target="/xl/featurePropertyBag/featurePropertyBag.xml" Id="Rb33048d9044948cb" /><Relationship Type="http://schemas.openxmlformats.org/officeDocument/2006/relationships/sharedStrings" Target="/xl/sharedStrings.xml" Id="R09e85bad094c4a45" /><Relationship Type="http://schemas.openxmlformats.org/officeDocument/2006/relationships/worksheet" Target="/xl/worksheets/sheet1.xml" Id="R683d3413c81141a5" /><Relationship Type="http://schemas.openxmlformats.org/officeDocument/2006/relationships/worksheet" Target="/xl/worksheets/sheet2.xml" Id="R460fdb3285cd495e" /><Relationship Type="http://schemas.openxmlformats.org/officeDocument/2006/relationships/worksheet" Target="/xl/worksheets/sheet3.xml" Id="R76a7cf64dbb0423a" /><Relationship Type="http://schemas.openxmlformats.org/officeDocument/2006/relationships/worksheet" Target="/xl/worksheets/sheet4.xml" Id="R3cf9682aee2344d9" /><Relationship Type="http://schemas.openxmlformats.org/officeDocument/2006/relationships/worksheet" Target="/xl/worksheets/sheet5.xml" Id="R9b8a93bfb7f545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6" hidden="0" customWidth="1"/>
    <x:col min="5" max="5" width="32" hidden="0" customWidth="1"/>
    <x:col min="6" max="6" width="16" hidden="0" customWidth="1"/>
    <x:col min="7" max="7" width="12" hidden="0" customWidth="1"/>
    <x:col min="8" max="8" width="12" hidden="0" customWidth="1"/>
    <x:col min="9" max="9" width="13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2" hidden="0" customWidth="1"/>
    <x:col min="16" max="16" width="22" hidden="0" customWidth="1"/>
    <x:col min="17" max="17" width="8" hidden="0" customWidth="1"/>
    <x:col min="18" max="18" width="14" hidden="0" customWidth="1"/>
    <x:col min="19" max="19" width="12" hidden="0" customWidth="1"/>
    <x:col min="20" max="20" width="12" hidden="0" customWidth="1"/>
    <x:col min="21" max="21" width="34" hidden="0" customWidth="1"/>
    <x:col min="22" max="22" width="24" hidden="0" customWidth="1"/>
    <x:col min="23" max="23" width="24" hidden="0" customWidth="1"/>
  </x:cols>
  <x:sheetData>
    <x:row r="1">
      <x:c r="A1" s="4" t="str">
        <x:v>DeliveryID</x:v>
      </x:c>
      <x:c r="B1" s="4" t="str">
        <x:v>Date</x:v>
      </x:c>
      <x:c r="C1" s="4" t="str">
        <x:v>Customer</x:v>
      </x:c>
      <x:c r="D1" s="4" t="str">
        <x:v>Phone</x:v>
      </x:c>
      <x:c r="E1" s="4" t="str">
        <x:v>Address</x:v>
      </x:c>
      <x:c r="F1" s="4" t="str">
        <x:v>City</x:v>
      </x:c>
      <x:c r="G1" s="4" t="str">
        <x:v>Province</x:v>
      </x:c>
      <x:c r="H1" s="4" t="str">
        <x:v>PostalCode</x:v>
      </x:c>
      <x:c r="I1" s="4" t="str">
        <x:v>VehicleType</x:v>
      </x:c>
      <x:c r="J1" s="4" t="str">
        <x:v>WeightTons</x:v>
      </x:c>
      <x:c r="K1" s="4" t="str">
        <x:v>ServiceMinutes</x:v>
      </x:c>
      <x:c r="L1" s="4" t="str">
        <x:v>WindowStart</x:v>
      </x:c>
      <x:c r="M1" s="4" t="str">
        <x:v>WindowEnd</x:v>
      </x:c>
      <x:c r="N1" s="4" t="str">
        <x:v>Priority</x:v>
      </x:c>
      <x:c r="O1" s="4" t="str">
        <x:v>Truck</x:v>
      </x:c>
      <x:c r="P1" s="4" t="str">
        <x:v>Driver</x:v>
      </x:c>
      <x:c r="Q1" s="4" t="str">
        <x:v>Stop</x:v>
      </x:c>
      <x:c r="R1" s="4" t="str">
        <x:v>Status</x:v>
      </x:c>
      <x:c r="S1" s="4" t="str">
        <x:v>Latitude</x:v>
      </x:c>
      <x:c r="T1" s="4" t="str">
        <x:v>Longitude</x:v>
      </x:c>
      <x:c r="U1" s="4" t="str">
        <x:v>Notes</x:v>
      </x:c>
      <x:c r="V1" s="4" t="str">
        <x:v>CreatedAt</x:v>
      </x:c>
      <x:c r="W1" s="4" t="str">
        <x:v>UpdatedAt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3" t="str">
        <x:v>EventID</x:v>
      </x:c>
      <x:c r="B1" s="3" t="str">
        <x:v>Timestamp</x:v>
      </x:c>
      <x:c r="C1" s="3" t="str">
        <x:v>Date</x:v>
      </x:c>
      <x:c r="D1" s="3" t="str">
        <x:v>Type</x:v>
      </x:c>
      <x:c r="E1" s="3" t="str">
        <x:v>DeliveryID</x:v>
      </x:c>
      <x:c r="F1" s="3" t="str">
        <x:v>Truck</x:v>
      </x:c>
      <x:c r="G1" s="3" t="str">
        <x:v>Driver</x:v>
      </x:c>
      <x:c r="H1" s="3" t="str">
        <x:v>Status</x:v>
      </x:c>
      <x:c r="I1" s="3" t="str">
        <x:v>Details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9" t="str">
        <x:v>DriverID</x:v>
      </x:c>
      <x:c r="B1" s="9" t="str">
        <x:v>DriverName</x:v>
      </x:c>
      <x:c r="C1" s="9" t="str">
        <x:v>Phone</x:v>
      </x:c>
      <x:c r="D1" s="9" t="str">
        <x:v>DefaultTruck</x:v>
      </x:c>
      <x:c r="E1" s="9" t="str">
        <x:v>Active</x:v>
      </x:c>
    </x:row>
    <x:row r="2">
      <x:c r="A2" t="str">
        <x:v>drv_1</x:v>
      </x:c>
      <x:c r="B2" t="str">
        <x:v>Driver 01</x:v>
      </x:c>
      <x:c r="C2" t="str"/>
      <x:c r="D2" t="str">
        <x:v>5T-01</x:v>
      </x:c>
      <x:c r="E2" s="10" t="b">
        <x:v>1</x:v>
      </x:c>
    </x:row>
    <x:row r="3">
      <x:c r="A3" t="str">
        <x:v>drv_2</x:v>
      </x:c>
      <x:c r="B3" t="str">
        <x:v>Driver 02</x:v>
      </x:c>
      <x:c r="C3" t="str"/>
      <x:c r="D3" t="str">
        <x:v>5T-02</x:v>
      </x:c>
      <x:c r="E3" s="10" t="b">
        <x:v>1</x:v>
      </x:c>
    </x:row>
    <x:row r="4">
      <x:c r="A4" t="str">
        <x:v>drv_3</x:v>
      </x:c>
      <x:c r="B4" t="str">
        <x:v>Driver 03</x:v>
      </x:c>
      <x:c r="C4" t="str"/>
      <x:c r="D4" t="str">
        <x:v>5T-03</x:v>
      </x:c>
      <x:c r="E4" s="10" t="b">
        <x:v>1</x:v>
      </x:c>
    </x:row>
    <x:row r="5">
      <x:c r="A5" t="str">
        <x:v>drv_4</x:v>
      </x:c>
      <x:c r="B5" t="str">
        <x:v>Driver 04</x:v>
      </x:c>
      <x:c r="C5" t="str"/>
      <x:c r="D5" t="str">
        <x:v>5T-04</x:v>
      </x:c>
      <x:c r="E5" s="10" t="b">
        <x:v>1</x:v>
      </x:c>
    </x:row>
    <x:row r="6">
      <x:c r="A6" t="str">
        <x:v>drv_5</x:v>
      </x:c>
      <x:c r="B6" t="str">
        <x:v>Driver 05</x:v>
      </x:c>
      <x:c r="C6" t="str"/>
      <x:c r="D6" t="str">
        <x:v>3T-01</x:v>
      </x:c>
      <x:c r="E6" s="10" t="b">
        <x:v>1</x:v>
      </x:c>
    </x:row>
    <x:row r="7">
      <x:c r="A7" t="str">
        <x:v>drv_6</x:v>
      </x:c>
      <x:c r="B7" t="str">
        <x:v>Driver 06</x:v>
      </x:c>
      <x:c r="C7" t="str"/>
      <x:c r="D7" t="str">
        <x:v>3T-02</x:v>
      </x:c>
      <x:c r="E7" s="10" t="b">
        <x:v>1</x:v>
      </x:c>
    </x:row>
    <x:row r="8">
      <x:c r="A8" t="str">
        <x:v>drv_7</x:v>
      </x:c>
      <x:c r="B8" t="str">
        <x:v>Driver 07</x:v>
      </x:c>
      <x:c r="C8" t="str"/>
      <x:c r="D8" t="str">
        <x:v>VAN-01</x:v>
      </x:c>
      <x:c r="E8" s="10" t="b">
        <x:v>1</x:v>
      </x:c>
    </x:row>
    <x:row r="9">
      <x:c r="A9" t="str">
        <x:v>drv_8</x:v>
      </x:c>
      <x:c r="B9" t="str">
        <x:v>Driver 08</x:v>
      </x:c>
      <x:c r="C9" t="str"/>
      <x:c r="D9" t="str">
        <x:v>VAN-02</x:v>
      </x:c>
      <x:c r="E9" s="10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9" t="str">
        <x:v>TruckID</x:v>
      </x:c>
      <x:c r="B1" s="9" t="str">
        <x:v>Type</x:v>
      </x:c>
      <x:c r="C1" s="9" t="str">
        <x:v>CapacityTons</x:v>
      </x:c>
      <x:c r="D1" s="9" t="str">
        <x:v>DriverID</x:v>
      </x:c>
      <x:c r="E1" s="9" t="str">
        <x:v>DriverName</x:v>
      </x:c>
      <x:c r="F1" s="9" t="str">
        <x:v>Active</x:v>
      </x:c>
      <x:c r="G1" s="9" t="str">
        <x:v>Color</x:v>
      </x:c>
    </x:row>
    <x:row r="2">
      <x:c r="A2" t="str">
        <x:v>5T-01</x:v>
      </x:c>
      <x:c r="B2" t="str">
        <x:v>5T</x:v>
      </x:c>
      <x:c r="C2" t="n">
        <x:v>5</x:v>
      </x:c>
      <x:c r="D2" t="str">
        <x:v>drv_1</x:v>
      </x:c>
      <x:c r="E2" t="str">
        <x:v>Driver 01</x:v>
      </x:c>
      <x:c r="F2" s="10" t="b">
        <x:v>1</x:v>
      </x:c>
      <x:c r="G2" t="str">
        <x:v>#B77D3F</x:v>
      </x:c>
    </x:row>
    <x:row r="3">
      <x:c r="A3" t="str">
        <x:v>5T-02</x:v>
      </x:c>
      <x:c r="B3" t="str">
        <x:v>5T</x:v>
      </x:c>
      <x:c r="C3" t="n">
        <x:v>5</x:v>
      </x:c>
      <x:c r="D3" t="str">
        <x:v>drv_2</x:v>
      </x:c>
      <x:c r="E3" t="str">
        <x:v>Driver 02</x:v>
      </x:c>
      <x:c r="F3" s="10" t="b">
        <x:v>1</x:v>
      </x:c>
      <x:c r="G3" t="str">
        <x:v>#B77D3F</x:v>
      </x:c>
    </x:row>
    <x:row r="4">
      <x:c r="A4" t="str">
        <x:v>5T-03</x:v>
      </x:c>
      <x:c r="B4" t="str">
        <x:v>5T</x:v>
      </x:c>
      <x:c r="C4" t="n">
        <x:v>5</x:v>
      </x:c>
      <x:c r="D4" t="str">
        <x:v>drv_3</x:v>
      </x:c>
      <x:c r="E4" t="str">
        <x:v>Driver 03</x:v>
      </x:c>
      <x:c r="F4" s="10" t="b">
        <x:v>1</x:v>
      </x:c>
      <x:c r="G4" t="str">
        <x:v>#B77D3F</x:v>
      </x:c>
    </x:row>
    <x:row r="5">
      <x:c r="A5" t="str">
        <x:v>5T-04</x:v>
      </x:c>
      <x:c r="B5" t="str">
        <x:v>5T</x:v>
      </x:c>
      <x:c r="C5" t="n">
        <x:v>5</x:v>
      </x:c>
      <x:c r="D5" t="str">
        <x:v>drv_4</x:v>
      </x:c>
      <x:c r="E5" t="str">
        <x:v>Driver 04</x:v>
      </x:c>
      <x:c r="F5" s="10" t="b">
        <x:v>1</x:v>
      </x:c>
      <x:c r="G5" t="str">
        <x:v>#B77D3F</x:v>
      </x:c>
    </x:row>
    <x:row r="6">
      <x:c r="A6" t="str">
        <x:v>3T-01</x:v>
      </x:c>
      <x:c r="B6" t="str">
        <x:v>3T</x:v>
      </x:c>
      <x:c r="C6" t="n">
        <x:v>3</x:v>
      </x:c>
      <x:c r="D6" t="str">
        <x:v>drv_5</x:v>
      </x:c>
      <x:c r="E6" t="str">
        <x:v>Driver 05</x:v>
      </x:c>
      <x:c r="F6" s="10" t="b">
        <x:v>1</x:v>
      </x:c>
      <x:c r="G6" t="str">
        <x:v>#547993</x:v>
      </x:c>
    </x:row>
    <x:row r="7">
      <x:c r="A7" t="str">
        <x:v>3T-02</x:v>
      </x:c>
      <x:c r="B7" t="str">
        <x:v>3T</x:v>
      </x:c>
      <x:c r="C7" t="n">
        <x:v>3</x:v>
      </x:c>
      <x:c r="D7" t="str">
        <x:v>drv_6</x:v>
      </x:c>
      <x:c r="E7" t="str">
        <x:v>Driver 06</x:v>
      </x:c>
      <x:c r="F7" s="10" t="b">
        <x:v>1</x:v>
      </x:c>
      <x:c r="G7" t="str">
        <x:v>#547993</x:v>
      </x:c>
    </x:row>
    <x:row r="8">
      <x:c r="A8" t="str">
        <x:v>VAN-01</x:v>
      </x:c>
      <x:c r="B8" t="str">
        <x:v>SPRINTER</x:v>
      </x:c>
      <x:c r="C8" t="n">
        <x:v>1.5</x:v>
      </x:c>
      <x:c r="D8" t="str">
        <x:v>drv_7</x:v>
      </x:c>
      <x:c r="E8" t="str">
        <x:v>Driver 07</x:v>
      </x:c>
      <x:c r="F8" s="10" t="b">
        <x:v>1</x:v>
      </x:c>
      <x:c r="G8" t="str">
        <x:v>#68836C</x:v>
      </x:c>
    </x:row>
    <x:row r="9">
      <x:c r="A9" t="str">
        <x:v>VAN-02</x:v>
      </x:c>
      <x:c r="B9" t="str">
        <x:v>SPRINTER</x:v>
      </x:c>
      <x:c r="C9" t="n">
        <x:v>1.5</x:v>
      </x:c>
      <x:c r="D9" t="str">
        <x:v>drv_8</x:v>
      </x:c>
      <x:c r="E9" t="str">
        <x:v>Driver 08</x:v>
      </x:c>
      <x:c r="F9" s="10" t="b">
        <x:v>1</x:v>
      </x:c>
      <x:c r="G9" t="str">
        <x:v>#68836C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5" t="str">
        <x:v>MOULDING STORE · DAILY DELIVERY CONTROL</x:v>
      </x:c>
    </x:row>
    <x:row r="2">
      <x:c r="A2" t="str">
        <x:v>Selected date</x:v>
      </x:c>
      <x:c r="B2" s="18" t="n">
        <x:v>46289.12368512731</x:v>
      </x:c>
    </x:row>
    <x:row r="4">
      <x:c r="A4" s="9" t="str">
        <x:v>KPI</x:v>
      </x:c>
      <x:c r="B4" s="9" t="str">
        <x:v>Value</x:v>
      </x:c>
    </x:row>
    <x:row r="5">
      <x:c r="A5" t="str">
        <x:v>Total deliveries</x:v>
      </x:c>
      <x:c r="B5" t="n">
        <x:f>COUNTIFS(Deliveries!$B:$B,"&gt;="&amp;$B$2,Deliveries!$B:$B,"&lt;"&amp;$B$2+1)</x:f>
        <x:v>0</x:v>
      </x:c>
    </x:row>
    <x:row r="6">
      <x:c r="A6" t="str">
        <x:v>Delivered</x:v>
      </x:c>
      <x:c r="B6" t="n">
        <x:f>COUNTIFS(Deliveries!$B:$B,"&gt;="&amp;$B$2,Deliveries!$B:$B,"&lt;"&amp;$B$2+1,Deliveries!$R:$R,"Delivered")</x:f>
        <x:v>0</x:v>
      </x:c>
    </x:row>
    <x:row r="7">
      <x:c r="A7" t="str">
        <x:v>Unassigned</x:v>
      </x:c>
      <x:c r="B7" t="n">
        <x:f>COUNTIFS(Deliveries!$B:$B,"&gt;="&amp;$B$2,Deliveries!$B:$B,"&lt;"&amp;$B$2+1,Deliveries!$O:$O,"")</x:f>
        <x:v>0</x:v>
      </x:c>
    </x:row>
    <x:row r="8">
      <x:c r="A8" t="str">
        <x:v>In progress</x:v>
      </x:c>
      <x:c r="B8" t="n">
        <x:f>COUNTIFS(Deliveries!$B:$B,"&gt;="&amp;$B$2,Deliveries!$B:$B,"&lt;"&amp;$B$2+1,Deliveries!$R:$R,"En Route")+COUNTIFS(Deliveries!$B:$B,"&gt;="&amp;$B$2,Deliveries!$B:$B,"&lt;"&amp;$B$2+1,Deliveries!$R:$R,"Arrived")+COUNTIFS(Deliveries!$B:$B,"&gt;="&amp;$B$2,Deliveries!$B:$B,"&lt;"&amp;$B$2+1,Deliveries!$R:$R,"Unloading")</x:f>
        <x:v>0</x:v>
      </x:c>
    </x:row>
  </x:sheetData>
  <x:mergeCells>
    <x:mergeCell ref="A1:H1"/>
  </x:mergeCells>
  <x:pageMargins left="0.7" right="0.7" top="0.75" bottom="0.75" header="0.3" footer="0.3"/>
</x:worksheet>
</file>